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Baseline Metrics" sheetId="2" r:id="rId6"/>
    <sheet state="visible" name="Opportunities" sheetId="3" r:id="rId7"/>
    <sheet state="visible" name="Calculations" sheetId="4" r:id="rId8"/>
    <sheet state="visible" name="ROI summary" sheetId="5" r:id="rId9"/>
  </sheets>
  <definedNames/>
  <calcPr/>
</workbook>
</file>

<file path=xl/sharedStrings.xml><?xml version="1.0" encoding="utf-8"?>
<sst xmlns="http://schemas.openxmlformats.org/spreadsheetml/2006/main" count="200" uniqueCount="139">
  <si>
    <t>automation_opportunity_id</t>
  </si>
  <si>
    <t>opportunity_id</t>
  </si>
  <si>
    <t>automation opportunity</t>
  </si>
  <si>
    <t>Annual total benefit</t>
  </si>
  <si>
    <t>assumption_id</t>
  </si>
  <si>
    <t>cost/effort in minutes</t>
  </si>
  <si>
    <t>Implementation Cost</t>
  </si>
  <si>
    <t>metric_id</t>
  </si>
  <si>
    <t xml:space="preserve">how anual operating time was calculated </t>
  </si>
  <si>
    <t>Net benefit</t>
  </si>
  <si>
    <t>assumption_name</t>
  </si>
  <si>
    <t>annual operational time saving</t>
  </si>
  <si>
    <t xml:space="preserve">metric </t>
  </si>
  <si>
    <t>value</t>
  </si>
  <si>
    <t>likely recovery uplift or reduced revenue leakage</t>
  </si>
  <si>
    <t>12-month ROI</t>
  </si>
  <si>
    <t>unit</t>
  </si>
  <si>
    <t>softer benefits such as visibility or consistency</t>
  </si>
  <si>
    <t>Simple payback period</t>
  </si>
  <si>
    <t>source</t>
  </si>
  <si>
    <t>notes</t>
  </si>
  <si>
    <t>confidence_level</t>
  </si>
  <si>
    <t>AO-01</t>
  </si>
  <si>
    <t>M-01</t>
  </si>
  <si>
    <t>self-serve balance and arrears view</t>
  </si>
  <si>
    <t>FA-01</t>
  </si>
  <si>
    <t>total delinquent account volume</t>
  </si>
  <si>
    <t>delinquent_accounts_export.csv</t>
  </si>
  <si>
    <t>This is a sample, so the actual number is unknown.</t>
  </si>
  <si>
    <t>representative_hourly_cost</t>
  </si>
  <si>
    <t>M-02</t>
  </si>
  <si>
    <t>likely straightforward-case volume</t>
  </si>
  <si>
    <t>GBP</t>
  </si>
  <si>
    <t>Finance workbook</t>
  </si>
  <si>
    <t>Percentage of candidates which are potential self-service applicants.</t>
  </si>
  <si>
    <t>M-03</t>
  </si>
  <si>
    <t>High</t>
  </si>
  <si>
    <t>admin hours spent on manual work</t>
  </si>
  <si>
    <t>Blended representative hourly cost</t>
  </si>
  <si>
    <t>recovery_activity_tracker.csv</t>
  </si>
  <si>
    <t>it takes an average of 18 minutes to handle straightforward cases, there are about 2507 of them acording to the delinquent_accounts_export.csv. Convert minutes to pounds using the rep hourly rate.</t>
  </si>
  <si>
    <t>Total hours for 9890 activites</t>
  </si>
  <si>
    <t>M-04</t>
  </si>
  <si>
    <t>missed follow-up rate</t>
  </si>
  <si>
    <t>FA-02</t>
  </si>
  <si>
    <t xml:space="preserve">Percentage of activities that had a no_reply outcome code. </t>
  </si>
  <si>
    <t>working_days_per_month</t>
  </si>
  <si>
    <t>M-05</t>
  </si>
  <si>
    <t>current handling effort</t>
  </si>
  <si>
    <t>Customer satisfation</t>
  </si>
  <si>
    <t>AO-02</t>
  </si>
  <si>
    <t>days</t>
  </si>
  <si>
    <t>Assumptions</t>
  </si>
  <si>
    <t>Hours spent times hourly rate</t>
  </si>
  <si>
    <t>we currently miss about 12% of cases because they are not properly tracked, assuming they make up 12% of the total overdue amount.</t>
  </si>
  <si>
    <t>Used for admin calculations</t>
  </si>
  <si>
    <t>AO-03</t>
  </si>
  <si>
    <t>FA-03</t>
  </si>
  <si>
    <t>straightforward_case_share</t>
  </si>
  <si>
    <t>ratio</t>
  </si>
  <si>
    <t>Operations estimate</t>
  </si>
  <si>
    <t>Medium</t>
  </si>
  <si>
    <t>AO-04</t>
  </si>
  <si>
    <t>contact detail confirmation or update request</t>
  </si>
  <si>
    <t>Suitable for rules-driven self-service</t>
  </si>
  <si>
    <t>FA-04</t>
  </si>
  <si>
    <t>number of missing elements times 5 times hourly rate</t>
  </si>
  <si>
    <t>avg_straightforward_case_minutes</t>
  </si>
  <si>
    <t>AO-05</t>
  </si>
  <si>
    <t>minutes</t>
  </si>
  <si>
    <t>Operations leadership</t>
  </si>
  <si>
    <t>Current case handling time</t>
  </si>
  <si>
    <t>FA-05</t>
  </si>
  <si>
    <t>target_straightforward_case_minutes</t>
  </si>
  <si>
    <t>digital promise-to-pay capture</t>
  </si>
  <si>
    <t>AO-06</t>
  </si>
  <si>
    <t>Operations target</t>
  </si>
  <si>
    <t>minutes spent on status check times hourly rate</t>
  </si>
  <si>
    <t>Target after automation support</t>
  </si>
  <si>
    <t>FA-06</t>
  </si>
  <si>
    <t>missed_follow_up_rate</t>
  </si>
  <si>
    <t>Activity tracker analysis</t>
  </si>
  <si>
    <t>Representative benefit</t>
  </si>
  <si>
    <t>Indicative rate of missed or delayed follow-up</t>
  </si>
  <si>
    <t>FA-07</t>
  </si>
  <si>
    <t>rules-based routing to representatives</t>
  </si>
  <si>
    <t>recovery_uplift_for_plan_selection</t>
  </si>
  <si>
    <t>Finance estimate</t>
  </si>
  <si>
    <t>minutes spent on manual plan note times hourly rate</t>
  </si>
  <si>
    <t>Low</t>
  </si>
  <si>
    <t>Test in sensitivity analysis</t>
  </si>
  <si>
    <t>FA-08</t>
  </si>
  <si>
    <t>recovery_uplift_for_promise_capture</t>
  </si>
  <si>
    <t>portal interaction history for representatives</t>
  </si>
  <si>
    <t>Scenario based</t>
  </si>
  <si>
    <t>minutes spent on spreadsheet reconciliation times hourly rate</t>
  </si>
  <si>
    <t>FA-09</t>
  </si>
  <si>
    <t>monthly_recovery_baseline</t>
  </si>
  <si>
    <t>Baseline monthly recoveries</t>
  </si>
  <si>
    <t>FA-10</t>
  </si>
  <si>
    <t>automated follow-up reminders</t>
  </si>
  <si>
    <t xml:space="preserve">Value </t>
  </si>
  <si>
    <t>Implementation effort</t>
  </si>
  <si>
    <t>confidence in assumptions</t>
  </si>
  <si>
    <t>Value Rationale</t>
  </si>
  <si>
    <t>implementation_cost_low_complexity</t>
  </si>
  <si>
    <t>Implementation Effort Rationale</t>
  </si>
  <si>
    <t>Confidence Rationale</t>
  </si>
  <si>
    <t>Key Drivers &amp; Justification</t>
  </si>
  <si>
    <t>Delivers £382.8k total annual benefit (£297.8k net benefit) with a 350% 12-month ROI and rapid 3.4-month payback period.</t>
  </si>
  <si>
    <t>Medium complexity tier (£85,000) requiring portal infrastructure, secure customer authentication, and real-time ledger balance sync.</t>
  </si>
  <si>
    <t>minutes spent on sms and email reminders times hourly rate</t>
  </si>
  <si>
    <t>Medium confidence: operational minutes savings are well-modelled, but the £366k recovery leakage uplift requires live pilot verification.</t>
  </si>
  <si>
    <t>High-impact opportunity driven by 12% overdue leakage reduction and 18-minute straightforward case savings across 2,507 accounts.</t>
  </si>
  <si>
    <t>Product delivery estimate</t>
  </si>
  <si>
    <t>Generates £638 annual benefit, yielding negative net benefit (-£44.4k) and -98.6% ROI as a standalone investment.</t>
  </si>
  <si>
    <t>Low complexity tier (£45,000) utilizing standard form templates and straightforward contact database field updates.</t>
  </si>
  <si>
    <t>Medium confidence: activity tracker data validates 5-minute handling time and £22/hr rep cost, though isolated uptake is variable.</t>
  </si>
  <si>
    <t>Low standalone return makes it unattractive on its own; recommended for packaging within broader customer portal rollouts.</t>
  </si>
  <si>
    <t>Generates £194 annual benefit, resulting in -£44.8k net benefit and -99.6% ROI on standalone implementation.</t>
  </si>
  <si>
    <t>Low complexity tier (£45,000) requiring basic web form validation and payment promise status logging.</t>
  </si>
  <si>
    <t>Low confidence: promise-to-pay recovery uplift assumption (FA-08: 2.5%) has high variance and depends on debtor repayment behavior.</t>
  </si>
  <si>
    <t>Starter figure</t>
  </si>
  <si>
    <t>Low value and low assumption certainty indicate this should only be delivered as an integrated sub-feature of AO-01.</t>
  </si>
  <si>
    <t>Generates £333 annual benefit, resulting in -£44.7k net benefit and -99.3% ROI on standalone deployment.</t>
  </si>
  <si>
    <t>Low complexity tier (£45,000) configuring rules-based routing within existing contact center / CRM platform.</t>
  </si>
  <si>
    <t>Medium confidence: 7.5-minute manual note-taking baseline and £22/hr rep hourly cost are supported by operational activity tracking.</t>
  </si>
  <si>
    <t>Direct financial return is low; primary rationale rests on organizational benefits like queue consistency and reduced misroutes.</t>
  </si>
  <si>
    <t>Generates £395 annual benefit, resulting in -£44.6k net benefit and -99.1% ROI on standalone build.</t>
  </si>
  <si>
    <t>Low complexity tier (£45,000) deploying read-only activity logs and reconciliation views for reps.</t>
  </si>
  <si>
    <t>Medium confidence: 9-minute spreadsheet reconciliation benchmark is well documented from rep activity logs.</t>
  </si>
  <si>
    <t>Direct labor savings are modest; chief justification lies in auditability, customer visibility, and streamlined agent context.</t>
  </si>
  <si>
    <t>Generates £363 annual benefit, resulting in -£44.6k net benefit and -99.2% ROI as a standalone deployment.</t>
  </si>
  <si>
    <t>Low complexity tier (£45,000) setting up scheduled SMS/email notification workflows.</t>
  </si>
  <si>
    <t>FA-11</t>
  </si>
  <si>
    <t>Medium confidence: 12.1% missed follow-up baseline (M-04) and 8.5 min reminder effort are validated by activity trackers.</t>
  </si>
  <si>
    <t>Low standalone monetary return; best implemented as an automated workflow trigger within the AO-01 self-service suite.</t>
  </si>
  <si>
    <t>Customer satisfation and Representative benefit</t>
  </si>
  <si>
    <t>implementation_cost_medium_complexity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</si>
</sst>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rgb="FF2C481F"/>
      <name val="Roboto"/>
    </font>
    <font>
      <color rgb="FF2A3243"/>
      <name val="Roboto"/>
    </font>
    <font>
      <color rgb="FF133819"/>
      <name val="Roboto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horizontal="right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2" fillId="2" fontId="4" numFmtId="0" xfId="0" applyAlignment="1" applyBorder="1" applyFill="1" applyFont="1">
      <alignment shrinkToFit="0" vertical="center" wrapText="0"/>
    </xf>
    <xf borderId="3" fillId="2" fontId="3" numFmtId="0" xfId="0" applyAlignment="1" applyBorder="1" applyFill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5" fillId="3" fontId="3" numFmtId="0" xfId="0" applyAlignment="1" applyBorder="1" applyFill="1" applyFont="1">
      <alignment horizontal="right" shrinkToFit="0" vertical="center" wrapText="0"/>
    </xf>
    <xf borderId="5" fillId="3" fontId="4" numFmtId="0" xfId="0" applyAlignment="1" applyBorder="1" applyFill="1" applyFont="1">
      <alignment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2" fillId="2" fontId="5" numFmtId="0" xfId="0" applyAlignment="1" applyBorder="1" applyFill="1" applyFont="1">
      <alignment shrinkToFit="0" vertical="center" wrapText="0"/>
    </xf>
    <xf borderId="5" fillId="3" fontId="5" numFmtId="0" xfId="0" applyAlignment="1" applyBorder="1" applyFill="1" applyFont="1">
      <alignment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5" fillId="3" fontId="6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7" fillId="2" fontId="3" numFmtId="0" xfId="0" applyAlignment="1" applyBorder="1" applyFill="1" applyFont="1">
      <alignment shrinkToFit="0" vertical="center" wrapText="0"/>
    </xf>
    <xf borderId="8" fillId="2" fontId="3" numFmtId="0" xfId="0" applyAlignment="1" applyBorder="1" applyFill="1" applyFont="1">
      <alignment shrinkToFit="0" vertical="center" wrapText="0"/>
    </xf>
    <xf borderId="8" fillId="2" fontId="3" numFmtId="0" xfId="0" applyAlignment="1" applyBorder="1" applyFill="1" applyFont="1">
      <alignment horizontal="right" shrinkToFit="0" vertical="center" wrapText="0"/>
    </xf>
    <xf borderId="8" fillId="2" fontId="5" numFmtId="0" xfId="0" applyAlignment="1" applyBorder="1" applyFill="1" applyFont="1">
      <alignment shrinkToFit="0" vertical="center" wrapText="0"/>
    </xf>
    <xf borderId="9" fillId="2" fontId="3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alcul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portuni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ump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line Metri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2" displayName="Table1" name="Table1" id="1">
  <tableColumns count="7">
    <tableColumn name="assumption_id" id="1"/>
    <tableColumn name="assumption_name" id="2"/>
    <tableColumn name="value" id="3"/>
    <tableColumn name="unit" id="4"/>
    <tableColumn name="source" id="5"/>
    <tableColumn name="confidence_level" id="6"/>
    <tableColumn name="notes" id="7"/>
  </tableColumns>
  <tableStyleInfo name="Assumptions-style" showColumnStripes="0" showFirstColumn="1" showLastColumn="1" showRowStripes="1"/>
</table>
</file>

<file path=xl/tables/table2.xml><?xml version="1.0" encoding="utf-8"?>
<table xmlns="http://schemas.openxmlformats.org/spreadsheetml/2006/main" ref="A1:E6" displayName="Table2" name="Table2" id="4">
  <tableColumns count="5">
    <tableColumn name="metric_id" id="1"/>
    <tableColumn name="metric " id="2"/>
    <tableColumn name="value" id="3"/>
    <tableColumn name="source" id="4"/>
    <tableColumn name="notes" id="5"/>
  </tableColumns>
  <tableStyleInfo name="Baseline Metrics-style" showColumnStripes="0" showFirstColumn="1" showLastColumn="1" showRowStripes="1"/>
</table>
</file>

<file path=xl/tables/table3.xml><?xml version="1.0" encoding="utf-8"?>
<table xmlns="http://schemas.openxmlformats.org/spreadsheetml/2006/main" ref="A1:G8" displayName="Table3" name="Table3" id="2">
  <tableColumns count="7">
    <tableColumn name="automation_opportunity_id" id="1"/>
    <tableColumn name="automation opportunity" id="2"/>
    <tableColumn name="cost/effort in minutes" id="3"/>
    <tableColumn name="how anual operating time was calculated " id="4"/>
    <tableColumn name="annual operational time saving" id="5"/>
    <tableColumn name="likely recovery uplift or reduced revenue leakage" id="6"/>
    <tableColumn name="softer benefits such as visibility or consistency" id="7"/>
  </tableColumns>
  <tableStyleInfo name="Opportunities-style" showColumnStripes="0" showFirstColumn="1" showLastColumn="1" showRowStripes="1"/>
</table>
</file>

<file path=xl/tables/table4.xml><?xml version="1.0" encoding="utf-8"?>
<table xmlns="http://schemas.openxmlformats.org/spreadsheetml/2006/main" ref="A1:F7" displayName="Table4" name="Table4" id="3">
  <tableColumns count="6">
    <tableColumn name="opportunity_id" id="1"/>
    <tableColumn name="Annual total benefit" id="2"/>
    <tableColumn name="Implementation Cost" id="3"/>
    <tableColumn name="Net benefit" id="4"/>
    <tableColumn name="12-month ROI" id="5"/>
    <tableColumn name="Simple payback period" id="6"/>
  </tableColumns>
  <tableStyleInfo name="Calcu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32.88"/>
    <col customWidth="1" min="5" max="5" width="23.5"/>
    <col customWidth="1" min="6" max="6" width="17.88"/>
    <col customWidth="1" min="7" max="7" width="38.5"/>
  </cols>
  <sheetData>
    <row r="1" ht="22.5" customHeight="1">
      <c r="A1" s="2" t="s">
        <v>4</v>
      </c>
      <c r="B1" s="3" t="s">
        <v>10</v>
      </c>
      <c r="C1" s="2" t="s">
        <v>13</v>
      </c>
      <c r="D1" s="2" t="s">
        <v>16</v>
      </c>
      <c r="E1" s="3" t="s">
        <v>19</v>
      </c>
      <c r="F1" s="2" t="s">
        <v>21</v>
      </c>
      <c r="G1" s="3" t="s">
        <v>20</v>
      </c>
    </row>
    <row r="2" ht="22.5" customHeight="1">
      <c r="A2" s="5" t="s">
        <v>25</v>
      </c>
      <c r="B2" s="6" t="s">
        <v>29</v>
      </c>
      <c r="C2" s="7">
        <v>22.0</v>
      </c>
      <c r="D2" s="6" t="s">
        <v>32</v>
      </c>
      <c r="E2" s="6" t="s">
        <v>33</v>
      </c>
      <c r="F2" s="10" t="s">
        <v>36</v>
      </c>
      <c r="G2" s="11" t="s">
        <v>38</v>
      </c>
    </row>
    <row r="3" ht="22.5" customHeight="1">
      <c r="A3" s="15" t="s">
        <v>44</v>
      </c>
      <c r="B3" s="16" t="s">
        <v>46</v>
      </c>
      <c r="C3" s="17">
        <v>21.0</v>
      </c>
      <c r="D3" s="16" t="s">
        <v>51</v>
      </c>
      <c r="E3" s="16" t="s">
        <v>33</v>
      </c>
      <c r="F3" s="18" t="s">
        <v>36</v>
      </c>
      <c r="G3" s="19" t="s">
        <v>55</v>
      </c>
    </row>
    <row r="4" ht="22.5" customHeight="1">
      <c r="A4" s="5" t="s">
        <v>57</v>
      </c>
      <c r="B4" s="6" t="s">
        <v>58</v>
      </c>
      <c r="C4" s="7">
        <v>0.38</v>
      </c>
      <c r="D4" s="6" t="s">
        <v>59</v>
      </c>
      <c r="E4" s="6" t="s">
        <v>60</v>
      </c>
      <c r="F4" s="20" t="s">
        <v>61</v>
      </c>
      <c r="G4" s="11" t="s">
        <v>64</v>
      </c>
    </row>
    <row r="5" ht="22.5" customHeight="1">
      <c r="A5" s="15" t="s">
        <v>65</v>
      </c>
      <c r="B5" s="16" t="s">
        <v>67</v>
      </c>
      <c r="C5" s="17">
        <v>18.0</v>
      </c>
      <c r="D5" s="16" t="s">
        <v>69</v>
      </c>
      <c r="E5" s="16" t="s">
        <v>70</v>
      </c>
      <c r="F5" s="21" t="s">
        <v>61</v>
      </c>
      <c r="G5" s="19" t="s">
        <v>71</v>
      </c>
    </row>
    <row r="6" ht="22.5" customHeight="1">
      <c r="A6" s="5" t="s">
        <v>72</v>
      </c>
      <c r="B6" s="6" t="s">
        <v>73</v>
      </c>
      <c r="C6" s="7">
        <v>10.0</v>
      </c>
      <c r="D6" s="6" t="s">
        <v>69</v>
      </c>
      <c r="E6" s="6" t="s">
        <v>76</v>
      </c>
      <c r="F6" s="20" t="s">
        <v>61</v>
      </c>
      <c r="G6" s="11" t="s">
        <v>78</v>
      </c>
    </row>
    <row r="7" ht="22.5" customHeight="1">
      <c r="A7" s="15" t="s">
        <v>79</v>
      </c>
      <c r="B7" s="16" t="s">
        <v>80</v>
      </c>
      <c r="C7" s="17">
        <v>0.14</v>
      </c>
      <c r="D7" s="16" t="s">
        <v>59</v>
      </c>
      <c r="E7" s="16" t="s">
        <v>81</v>
      </c>
      <c r="F7" s="21" t="s">
        <v>61</v>
      </c>
      <c r="G7" s="19" t="s">
        <v>83</v>
      </c>
    </row>
    <row r="8" ht="22.5" customHeight="1">
      <c r="A8" s="5" t="s">
        <v>84</v>
      </c>
      <c r="B8" s="6" t="s">
        <v>86</v>
      </c>
      <c r="C8" s="7">
        <v>0.04</v>
      </c>
      <c r="D8" s="6" t="s">
        <v>59</v>
      </c>
      <c r="E8" s="6" t="s">
        <v>87</v>
      </c>
      <c r="F8" s="22" t="s">
        <v>89</v>
      </c>
      <c r="G8" s="11" t="s">
        <v>90</v>
      </c>
    </row>
    <row r="9" ht="22.5" customHeight="1">
      <c r="A9" s="15" t="s">
        <v>91</v>
      </c>
      <c r="B9" s="16" t="s">
        <v>92</v>
      </c>
      <c r="C9" s="17">
        <v>0.025</v>
      </c>
      <c r="D9" s="16" t="s">
        <v>59</v>
      </c>
      <c r="E9" s="16" t="s">
        <v>87</v>
      </c>
      <c r="F9" s="23" t="s">
        <v>89</v>
      </c>
      <c r="G9" s="19" t="s">
        <v>94</v>
      </c>
    </row>
    <row r="10" ht="22.5" customHeight="1">
      <c r="A10" s="5" t="s">
        <v>96</v>
      </c>
      <c r="B10" s="6" t="s">
        <v>97</v>
      </c>
      <c r="C10" s="7">
        <v>8000000.0</v>
      </c>
      <c r="D10" s="6" t="s">
        <v>32</v>
      </c>
      <c r="E10" s="6" t="s">
        <v>33</v>
      </c>
      <c r="F10" s="20" t="s">
        <v>61</v>
      </c>
      <c r="G10" s="11" t="s">
        <v>98</v>
      </c>
    </row>
    <row r="11" ht="22.5" customHeight="1">
      <c r="A11" s="15" t="s">
        <v>99</v>
      </c>
      <c r="B11" s="16" t="s">
        <v>105</v>
      </c>
      <c r="C11" s="17">
        <v>45000.0</v>
      </c>
      <c r="D11" s="16" t="s">
        <v>32</v>
      </c>
      <c r="E11" s="16" t="s">
        <v>114</v>
      </c>
      <c r="F11" s="21" t="s">
        <v>61</v>
      </c>
      <c r="G11" s="19" t="s">
        <v>122</v>
      </c>
    </row>
    <row r="12" ht="22.5" customHeight="1">
      <c r="A12" s="26" t="s">
        <v>134</v>
      </c>
      <c r="B12" s="27" t="s">
        <v>138</v>
      </c>
      <c r="C12" s="28">
        <v>85000.0</v>
      </c>
      <c r="D12" s="27" t="s">
        <v>32</v>
      </c>
      <c r="E12" s="27" t="s">
        <v>114</v>
      </c>
      <c r="F12" s="29" t="s">
        <v>61</v>
      </c>
      <c r="G12" s="30" t="s">
        <v>122</v>
      </c>
    </row>
  </sheetData>
  <dataValidations>
    <dataValidation type="list" allowBlank="1" showDropDown="1" showErrorMessage="1" sqref="F2:F12">
      <formula1>"High,Medium,Low"</formula1>
    </dataValidation>
    <dataValidation type="custom" allowBlank="1" showDropDown="1" sqref="C2:C1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30.38"/>
    <col customWidth="1" min="3" max="3" width="17.38"/>
    <col customWidth="1" min="4" max="4" width="26.13"/>
    <col customWidth="1" min="5" max="5" width="37.63"/>
  </cols>
  <sheetData>
    <row r="1" ht="22.5" customHeight="1">
      <c r="A1" s="1" t="s">
        <v>7</v>
      </c>
      <c r="B1" s="1" t="s">
        <v>12</v>
      </c>
      <c r="C1" s="1" t="s">
        <v>13</v>
      </c>
      <c r="D1" s="1" t="s">
        <v>19</v>
      </c>
      <c r="E1" s="1" t="s">
        <v>20</v>
      </c>
    </row>
    <row r="2" ht="22.5" customHeight="1">
      <c r="A2" s="4" t="s">
        <v>23</v>
      </c>
      <c r="B2" s="4" t="s">
        <v>26</v>
      </c>
      <c r="C2" s="4">
        <v>3246.0</v>
      </c>
      <c r="D2" s="4" t="s">
        <v>27</v>
      </c>
      <c r="E2" s="4" t="s">
        <v>28</v>
      </c>
    </row>
    <row r="3" ht="22.5" customHeight="1">
      <c r="A3" s="4" t="s">
        <v>30</v>
      </c>
      <c r="B3" s="4" t="s">
        <v>31</v>
      </c>
      <c r="C3" s="8">
        <v>0.7723</v>
      </c>
      <c r="D3" s="4" t="s">
        <v>27</v>
      </c>
      <c r="E3" s="4" t="s">
        <v>34</v>
      </c>
    </row>
    <row r="4" ht="22.5" customHeight="1">
      <c r="A4" s="4" t="s">
        <v>35</v>
      </c>
      <c r="B4" s="4" t="s">
        <v>37</v>
      </c>
      <c r="C4" s="4">
        <v>1153.0</v>
      </c>
      <c r="D4" s="4" t="s">
        <v>39</v>
      </c>
      <c r="E4" s="4" t="s">
        <v>41</v>
      </c>
    </row>
    <row r="5" ht="22.5" customHeight="1">
      <c r="A5" s="4" t="s">
        <v>42</v>
      </c>
      <c r="B5" s="4" t="s">
        <v>43</v>
      </c>
      <c r="C5" s="8">
        <v>0.1214</v>
      </c>
      <c r="D5" s="4" t="s">
        <v>39</v>
      </c>
      <c r="E5" s="4" t="s">
        <v>45</v>
      </c>
    </row>
    <row r="6" ht="22.5" customHeight="1">
      <c r="A6" s="4" t="s">
        <v>47</v>
      </c>
      <c r="B6" s="4" t="s">
        <v>48</v>
      </c>
      <c r="C6" s="14">
        <f>C4*22</f>
        <v>25366</v>
      </c>
      <c r="D6" s="4" t="s">
        <v>52</v>
      </c>
      <c r="E6" s="4" t="s">
        <v>53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38.5"/>
    <col customWidth="1" min="3" max="3" width="15.38"/>
    <col customWidth="1" min="4" max="4" width="37.63"/>
    <col customWidth="1" min="5" max="5" width="31.38"/>
    <col customWidth="1" min="6" max="6" width="17.13"/>
    <col customWidth="1" min="7" max="7" width="37.63"/>
  </cols>
  <sheetData>
    <row r="1" ht="22.5" customHeight="1">
      <c r="A1" s="1" t="s">
        <v>0</v>
      </c>
      <c r="B1" s="1" t="s">
        <v>2</v>
      </c>
      <c r="C1" s="1" t="s">
        <v>5</v>
      </c>
      <c r="D1" s="1" t="s">
        <v>8</v>
      </c>
      <c r="E1" s="1" t="s">
        <v>11</v>
      </c>
      <c r="F1" s="1" t="s">
        <v>14</v>
      </c>
      <c r="G1" s="1" t="s">
        <v>17</v>
      </c>
    </row>
    <row r="2" ht="22.5" customHeight="1">
      <c r="A2" s="4" t="s">
        <v>22</v>
      </c>
      <c r="B2" s="4" t="s">
        <v>24</v>
      </c>
      <c r="C2" s="9">
        <f> 18</f>
        <v>18</v>
      </c>
      <c r="D2" s="13" t="s">
        <v>40</v>
      </c>
      <c r="E2" s="9">
        <f> 18 * 2507</f>
        <v>45126</v>
      </c>
      <c r="F2" s="9">
        <f> 18/60 * 22 * 2507</f>
        <v>16546.2</v>
      </c>
      <c r="G2" s="4" t="s">
        <v>49</v>
      </c>
    </row>
    <row r="3" ht="22.5" customHeight="1">
      <c r="A3" s="4" t="s">
        <v>22</v>
      </c>
      <c r="B3" s="4" t="s">
        <v>24</v>
      </c>
      <c r="C3" s="9">
        <v>0.0</v>
      </c>
      <c r="D3" s="13" t="s">
        <v>54</v>
      </c>
      <c r="E3" s="9">
        <v>0.0</v>
      </c>
      <c r="F3" s="9">
        <f>3052004.2*0.12</f>
        <v>366240.504</v>
      </c>
      <c r="G3" s="4"/>
    </row>
    <row r="4" ht="22.5" customHeight="1">
      <c r="A4" s="4" t="s">
        <v>50</v>
      </c>
      <c r="B4" s="4" t="s">
        <v>63</v>
      </c>
      <c r="C4" s="9">
        <f> 5</f>
        <v>5</v>
      </c>
      <c r="D4" s="4" t="s">
        <v>66</v>
      </c>
      <c r="E4" s="9">
        <f> 348 * 5</f>
        <v>1740</v>
      </c>
      <c r="F4" s="9">
        <f> 348 * 5/60 * 22</f>
        <v>638</v>
      </c>
      <c r="G4" s="4" t="s">
        <v>49</v>
      </c>
    </row>
    <row r="5" ht="22.5" customHeight="1">
      <c r="A5" s="4" t="s">
        <v>56</v>
      </c>
      <c r="B5" s="4" t="s">
        <v>74</v>
      </c>
      <c r="C5" s="12">
        <f> 4.5</f>
        <v>4.5</v>
      </c>
      <c r="D5" s="4" t="s">
        <v>77</v>
      </c>
      <c r="E5" s="12">
        <f> 529</f>
        <v>529</v>
      </c>
      <c r="F5" s="12">
        <f> 529/60 *22</f>
        <v>193.9666667</v>
      </c>
      <c r="G5" s="4" t="s">
        <v>82</v>
      </c>
    </row>
    <row r="6" ht="22.5" customHeight="1">
      <c r="A6" s="4" t="s">
        <v>62</v>
      </c>
      <c r="B6" s="4" t="s">
        <v>85</v>
      </c>
      <c r="C6" s="12">
        <f>7.5</f>
        <v>7.5</v>
      </c>
      <c r="D6" s="4" t="s">
        <v>88</v>
      </c>
      <c r="E6" s="12">
        <f>908</f>
        <v>908</v>
      </c>
      <c r="F6" s="12">
        <f>908/60 *22</f>
        <v>332.9333333</v>
      </c>
      <c r="G6" s="4" t="s">
        <v>82</v>
      </c>
    </row>
    <row r="7" ht="22.5" customHeight="1">
      <c r="A7" s="4" t="s">
        <v>68</v>
      </c>
      <c r="B7" s="4" t="s">
        <v>93</v>
      </c>
      <c r="C7" s="12">
        <f>9</f>
        <v>9</v>
      </c>
      <c r="D7" s="4" t="s">
        <v>95</v>
      </c>
      <c r="E7" s="12">
        <f>1076.5</f>
        <v>1076.5</v>
      </c>
      <c r="F7" s="12">
        <f>1076.5/60*22</f>
        <v>394.7166667</v>
      </c>
      <c r="G7" s="4" t="s">
        <v>82</v>
      </c>
    </row>
    <row r="8" ht="22.5" customHeight="1">
      <c r="A8" s="4" t="s">
        <v>75</v>
      </c>
      <c r="B8" s="4" t="s">
        <v>100</v>
      </c>
      <c r="C8" s="12">
        <f> 8.5</f>
        <v>8.5</v>
      </c>
      <c r="D8" s="4" t="s">
        <v>111</v>
      </c>
      <c r="E8" s="12">
        <f> (644 + 347)</f>
        <v>991</v>
      </c>
      <c r="F8" s="12">
        <f> (644 + 347)/60 * 22  </f>
        <v>363.3666667</v>
      </c>
      <c r="G8" s="4" t="s">
        <v>137</v>
      </c>
    </row>
  </sheetData>
  <dataValidations>
    <dataValidation type="custom" allowBlank="1" showDropDown="1" sqref="C2:C8 E2:F8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23.13"/>
    <col customWidth="1" min="3" max="3" width="21.0"/>
    <col customWidth="1" min="4" max="4" width="16.88"/>
    <col customWidth="1" min="5" max="5" width="15.63"/>
    <col customWidth="1" min="6" max="6" width="22.25"/>
  </cols>
  <sheetData>
    <row r="1" ht="22.5" customHeight="1">
      <c r="A1" s="1" t="s">
        <v>1</v>
      </c>
      <c r="B1" s="1" t="s">
        <v>3</v>
      </c>
      <c r="C1" s="1" t="s">
        <v>6</v>
      </c>
      <c r="D1" s="1" t="s">
        <v>9</v>
      </c>
      <c r="E1" s="1" t="s">
        <v>15</v>
      </c>
      <c r="F1" s="1" t="s">
        <v>18</v>
      </c>
    </row>
    <row r="2" ht="22.5" customHeight="1">
      <c r="A2" s="4" t="s">
        <v>22</v>
      </c>
      <c r="B2" s="9">
        <f> 18/60 * 22 * 2507 + Opportunities!F3</f>
        <v>382786.704</v>
      </c>
      <c r="C2" s="4">
        <v>85000.0</v>
      </c>
      <c r="D2" s="12">
        <f t="shared" ref="D2:D7" si="1">B2-C2</f>
        <v>297786.704</v>
      </c>
      <c r="E2" s="14">
        <f t="shared" ref="E2:E7" si="2">D2/C2</f>
        <v>3.503372988</v>
      </c>
      <c r="F2" s="14">
        <f t="shared" ref="F2:F7" si="3"> C2/(D2/12)</f>
        <v>3.425270458</v>
      </c>
    </row>
    <row r="3" ht="22.5" customHeight="1">
      <c r="A3" s="4" t="s">
        <v>50</v>
      </c>
      <c r="B3" s="9">
        <f> 348 * 5/60 * 22</f>
        <v>638</v>
      </c>
      <c r="C3" s="4">
        <v>45000.0</v>
      </c>
      <c r="D3" s="12">
        <f t="shared" si="1"/>
        <v>-44362</v>
      </c>
      <c r="E3" s="14">
        <f t="shared" si="2"/>
        <v>-0.9858222222</v>
      </c>
      <c r="F3" s="14">
        <f t="shared" si="3"/>
        <v>-12.17258014</v>
      </c>
    </row>
    <row r="4" ht="22.5" customHeight="1">
      <c r="A4" s="4" t="s">
        <v>56</v>
      </c>
      <c r="B4" s="12">
        <f> 529/60 *22</f>
        <v>193.9666667</v>
      </c>
      <c r="C4" s="4">
        <v>45000.0</v>
      </c>
      <c r="D4" s="12">
        <f t="shared" si="1"/>
        <v>-44806.03333</v>
      </c>
      <c r="E4" s="14">
        <f t="shared" si="2"/>
        <v>-0.9956896296</v>
      </c>
      <c r="F4" s="14">
        <f t="shared" si="3"/>
        <v>-12.05194836</v>
      </c>
    </row>
    <row r="5" ht="22.5" customHeight="1">
      <c r="A5" s="4" t="s">
        <v>62</v>
      </c>
      <c r="B5" s="12">
        <f>908/60 *22</f>
        <v>332.9333333</v>
      </c>
      <c r="C5" s="4">
        <v>45000.0</v>
      </c>
      <c r="D5" s="12">
        <f t="shared" si="1"/>
        <v>-44667.06667</v>
      </c>
      <c r="E5" s="14">
        <f t="shared" si="2"/>
        <v>-0.9926014815</v>
      </c>
      <c r="F5" s="14">
        <f t="shared" si="3"/>
        <v>-12.08944398</v>
      </c>
    </row>
    <row r="6" ht="22.5" customHeight="1">
      <c r="A6" s="4" t="s">
        <v>68</v>
      </c>
      <c r="B6" s="12">
        <f>1076.5/60*22</f>
        <v>394.7166667</v>
      </c>
      <c r="C6" s="4">
        <v>45000.0</v>
      </c>
      <c r="D6" s="12">
        <f t="shared" si="1"/>
        <v>-44605.28333</v>
      </c>
      <c r="E6" s="14">
        <f t="shared" si="2"/>
        <v>-0.9912285185</v>
      </c>
      <c r="F6" s="14">
        <f t="shared" si="3"/>
        <v>-12.10618921</v>
      </c>
    </row>
    <row r="7" ht="22.5" customHeight="1">
      <c r="A7" s="4" t="s">
        <v>75</v>
      </c>
      <c r="B7" s="12">
        <f> (644 + 347)/60 * 22  </f>
        <v>363.3666667</v>
      </c>
      <c r="C7" s="4">
        <v>45000.0</v>
      </c>
      <c r="D7" s="12">
        <f t="shared" si="1"/>
        <v>-44636.63333</v>
      </c>
      <c r="E7" s="14">
        <f t="shared" si="2"/>
        <v>-0.9919251852</v>
      </c>
      <c r="F7" s="14">
        <f t="shared" si="3"/>
        <v>-12.09768658</v>
      </c>
    </row>
  </sheetData>
  <dataValidations>
    <dataValidation type="custom" allowBlank="1" showDropDown="1" sqref="B2:B7 D2:D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5.5"/>
    <col customWidth="1" min="3" max="3" width="12.88"/>
    <col customWidth="1" min="4" max="4" width="11.25"/>
    <col customWidth="1" min="5" max="7" width="35.13"/>
    <col customWidth="1" min="8" max="8" width="38.88"/>
  </cols>
  <sheetData>
    <row r="1">
      <c r="A1" s="24" t="s">
        <v>1</v>
      </c>
      <c r="B1" s="24" t="s">
        <v>101</v>
      </c>
      <c r="C1" s="24" t="s">
        <v>102</v>
      </c>
      <c r="D1" s="24" t="s">
        <v>103</v>
      </c>
      <c r="E1" s="24" t="s">
        <v>104</v>
      </c>
      <c r="F1" s="24" t="s">
        <v>106</v>
      </c>
      <c r="G1" s="24" t="s">
        <v>107</v>
      </c>
      <c r="H1" s="24" t="s">
        <v>108</v>
      </c>
    </row>
    <row r="2">
      <c r="A2" s="25" t="s">
        <v>22</v>
      </c>
      <c r="B2" s="25" t="s">
        <v>36</v>
      </c>
      <c r="C2" s="25" t="s">
        <v>61</v>
      </c>
      <c r="D2" s="25" t="s">
        <v>61</v>
      </c>
      <c r="E2" s="25" t="s">
        <v>109</v>
      </c>
      <c r="F2" s="25" t="s">
        <v>110</v>
      </c>
      <c r="G2" s="25" t="s">
        <v>112</v>
      </c>
      <c r="H2" s="25" t="s">
        <v>113</v>
      </c>
    </row>
    <row r="3">
      <c r="A3" s="25" t="s">
        <v>50</v>
      </c>
      <c r="B3" s="25" t="s">
        <v>89</v>
      </c>
      <c r="C3" s="25" t="s">
        <v>89</v>
      </c>
      <c r="D3" s="25" t="s">
        <v>61</v>
      </c>
      <c r="E3" s="25" t="s">
        <v>115</v>
      </c>
      <c r="F3" s="25" t="s">
        <v>116</v>
      </c>
      <c r="G3" s="25" t="s">
        <v>117</v>
      </c>
      <c r="H3" s="25" t="s">
        <v>118</v>
      </c>
    </row>
    <row r="4">
      <c r="A4" s="25" t="s">
        <v>56</v>
      </c>
      <c r="B4" s="25" t="s">
        <v>89</v>
      </c>
      <c r="C4" s="25" t="s">
        <v>89</v>
      </c>
      <c r="D4" s="25" t="s">
        <v>89</v>
      </c>
      <c r="E4" s="25" t="s">
        <v>119</v>
      </c>
      <c r="F4" s="25" t="s">
        <v>120</v>
      </c>
      <c r="G4" s="25" t="s">
        <v>121</v>
      </c>
      <c r="H4" s="25" t="s">
        <v>123</v>
      </c>
    </row>
    <row r="5">
      <c r="A5" s="25" t="s">
        <v>62</v>
      </c>
      <c r="B5" s="25" t="s">
        <v>89</v>
      </c>
      <c r="C5" s="25" t="s">
        <v>89</v>
      </c>
      <c r="D5" s="25" t="s">
        <v>61</v>
      </c>
      <c r="E5" s="25" t="s">
        <v>124</v>
      </c>
      <c r="F5" s="25" t="s">
        <v>125</v>
      </c>
      <c r="G5" s="25" t="s">
        <v>126</v>
      </c>
      <c r="H5" s="25" t="s">
        <v>127</v>
      </c>
    </row>
    <row r="6">
      <c r="A6" s="25" t="s">
        <v>68</v>
      </c>
      <c r="B6" s="25" t="s">
        <v>89</v>
      </c>
      <c r="C6" s="25" t="s">
        <v>89</v>
      </c>
      <c r="D6" s="25" t="s">
        <v>61</v>
      </c>
      <c r="E6" s="25" t="s">
        <v>128</v>
      </c>
      <c r="F6" s="25" t="s">
        <v>129</v>
      </c>
      <c r="G6" s="25" t="s">
        <v>130</v>
      </c>
      <c r="H6" s="25" t="s">
        <v>131</v>
      </c>
    </row>
    <row r="7">
      <c r="A7" s="25" t="s">
        <v>75</v>
      </c>
      <c r="B7" s="25" t="s">
        <v>89</v>
      </c>
      <c r="C7" s="25" t="s">
        <v>89</v>
      </c>
      <c r="D7" s="25" t="s">
        <v>61</v>
      </c>
      <c r="E7" s="25" t="s">
        <v>132</v>
      </c>
      <c r="F7" s="25" t="s">
        <v>133</v>
      </c>
      <c r="G7" s="25" t="s">
        <v>135</v>
      </c>
      <c r="H7" s="25" t="s">
        <v>136</v>
      </c>
    </row>
  </sheetData>
  <drawing r:id="rId1"/>
</worksheet>
</file>